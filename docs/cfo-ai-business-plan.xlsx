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ASSUMPTIONS (hypothetical) plan" sheetId="1" r:id="rId1"/>
    <sheet name="ASSUMPTIONS (hypothetical) grow" sheetId="2" r:id="rId2"/>
  </sheets>
  <calcPr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&quot;$&quot;#,##0;(&quot;$&quot;#,##0)"/>
    <numFmt numFmtId="165" formatCode="0%"/>
    <numFmt numFmtId="166" formatCode="#,##0;(#,##0)"/>
    <numFmt numFmtId="167" formatCode="0.0%"/>
    <numFmt numFmtId="168" formatCode="&quot;$&quot;#,##0.00;(&quot;$&quot;#,##0.00)"/>
  </numFmts>
  <fonts count="4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</fonts>
  <fills count="5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165" fontId="3" fillId="4" borderId="1" xfId="0" applyNumberFormat="1" applyFill="1" applyFont="1" applyBorder="1" applyAlignment="1">
      <alignment vertical="center" horizontal="right"/>
    </xf>
    <xf numFmtId="166" fontId="3" fillId="4" borderId="1" xfId="0" applyNumberFormat="1" applyFill="1" applyFont="1" applyBorder="1" applyAlignment="1">
      <alignment vertical="center" horizontal="right"/>
    </xf>
    <xf numFmtId="167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168" fontId="0" fillId="0" borderId="0" xfId="0" applyNumberFormat="1" applyAlignment="1">
      <alignment vertical="center"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I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</cols>
  <sheetData>
    <row r="1" ht="32" customHeight="1">
      <c r="A1" t="inlineStr" s="1">
        <is>
          <t xml:space="preserve">ASSUMPTIONS (hypothetical): plans, base vs downside</t>
        </is>
      </c>
    </row>
    <row r="2" ht="20" customHeight="1">
      <c r="A2" t="inlineStr" s="2">
        <is>
          <t xml:space="preserve">SignalForge: Summary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Monthly price</t>
        </is>
      </c>
      <c r="C4" t="inlineStr" s="4">
        <is>
          <t xml:space="preserve">Monthly price &gt; Downside</t>
        </is>
      </c>
      <c r="D4" t="inlineStr" s="4">
        <is>
          <t xml:space="preserve">Share of new signups</t>
        </is>
      </c>
      <c r="E4" t="inlineStr" s="4">
        <is>
          <t xml:space="preserve">Share of new signups &gt; Downside</t>
        </is>
      </c>
      <c r="F4" t="inlineStr" s="4">
        <is>
          <t xml:space="preserve">Briefs used per customer per month</t>
        </is>
      </c>
      <c r="G4" t="inlineStr" s="4">
        <is>
          <t xml:space="preserve">Briefs used per customer per month &gt; Downside</t>
        </is>
      </c>
      <c r="H4" t="inlineStr" s="4">
        <is>
          <t xml:space="preserve">Monthly churn rate</t>
        </is>
      </c>
      <c r="I4" t="inlineStr" s="4">
        <is>
          <t xml:space="preserve">Monthly churn rate &gt; Downside</t>
        </is>
      </c>
    </row>
    <row r="5">
      <c r="A5" t="inlineStr" s="5">
        <is>
          <t xml:space="preserve">Agency $99</t>
        </is>
      </c>
      <c r="B5" s="6">
        <f>99</f>
        <v>99</v>
      </c>
      <c r="C5" s="6">
        <f>'ASSUMPTIONS (hypothetical) plan'!B5</f>
        <v>99</v>
      </c>
      <c r="D5" s="7">
        <f>0.15</f>
        <v>0.15</v>
      </c>
      <c r="E5" s="7">
        <f>0.08</f>
        <v>0.08</v>
      </c>
      <c r="F5" s="8">
        <f>90</f>
        <v>90</v>
      </c>
      <c r="G5" s="8">
        <f>'ASSUMPTIONS (hypothetical) plan'!F5</f>
        <v>90</v>
      </c>
      <c r="H5" s="9">
        <f>0.04</f>
        <v>0.04</v>
      </c>
      <c r="I5" s="9">
        <f>0.07</f>
        <v>0.07</v>
      </c>
    </row>
    <row r="6">
      <c r="A6" t="inlineStr" s="10">
        <is>
          <t xml:space="preserve">Pro $49</t>
        </is>
      </c>
      <c r="B6" s="11">
        <f>49</f>
        <v>49</v>
      </c>
      <c r="C6" s="11">
        <f>'ASSUMPTIONS (hypothetical) plan'!B6</f>
        <v>49</v>
      </c>
      <c r="D6" s="12">
        <f>0.35</f>
        <v>0.35</v>
      </c>
      <c r="E6" s="12">
        <f>0.22</f>
        <v>0.22</v>
      </c>
      <c r="F6" s="13">
        <f>35</f>
        <v>35</v>
      </c>
      <c r="G6" s="13">
        <f>'ASSUMPTIONS (hypothetical) plan'!F6</f>
        <v>35</v>
      </c>
      <c r="H6" s="14">
        <f>0.06</f>
        <v>0.06</v>
      </c>
      <c r="I6" s="14">
        <f>0.1</f>
        <v>0.1</v>
      </c>
    </row>
    <row r="7">
      <c r="A7" t="inlineStr" s="5">
        <is>
          <t xml:space="preserve">Starter $19</t>
        </is>
      </c>
      <c r="B7" s="6">
        <f>19</f>
        <v>19</v>
      </c>
      <c r="C7" s="6">
        <f>'ASSUMPTIONS (hypothetical) plan'!B7</f>
        <v>19</v>
      </c>
      <c r="D7" s="7">
        <f>0.5</f>
        <v>0.5</v>
      </c>
      <c r="E7" s="7">
        <f>0.7</f>
        <v>0.7</v>
      </c>
      <c r="F7" s="8">
        <f>12</f>
        <v>12</v>
      </c>
      <c r="G7" s="8">
        <f>'ASSUMPTIONS (hypothetical) plan'!F7</f>
        <v>12</v>
      </c>
      <c r="H7" s="9">
        <f>0.08</f>
        <v>0.08</v>
      </c>
      <c r="I7" s="9">
        <f>0.15</f>
        <v>0.15</v>
      </c>
    </row>
  </sheetData>
  <mergeCells count="1">
    <mergeCell ref="A1:I1"/>
  </mergeCells>
</worksheet>
</file>

<file path=xl/worksheets/sheet2.xml><?xml version="1.0" encoding="utf-8"?>
<worksheet xmlns="http://schemas.openxmlformats.org/spreadsheetml/2006/main">
  <dimension ref="A1:C16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</cols>
  <sheetData>
    <row r="1" ht="32" customHeight="1">
      <c r="A1" t="inlineStr" s="1">
        <is>
          <t xml:space="preserve">ASSUMPTIONS (hypothetical): growth and costs, base vs downside</t>
        </is>
      </c>
    </row>
    <row r="2" ht="20" customHeight="1">
      <c r="A2" t="inlineStr" s="2">
        <is>
          <t xml:space="preserve">SignalForge: Summary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  <c r="C4" t="inlineStr" s="4">
        <is>
          <t xml:space="preserve">Value &gt; Downside</t>
        </is>
      </c>
    </row>
    <row r="5">
      <c r="A5" t="inlineStr" s="5">
        <is>
          <t xml:space="preserve">New signups in launch month</t>
        </is>
      </c>
      <c r="B5" s="8">
        <f>10</f>
        <v>10</v>
      </c>
      <c r="C5" s="8">
        <f>4</f>
        <v>4</v>
      </c>
    </row>
    <row r="6">
      <c r="A6" t="inlineStr" s="10">
        <is>
          <t xml:space="preserve">Monthly growth in new signups</t>
        </is>
      </c>
      <c r="B6" s="12">
        <f>0.15</f>
        <v>0.15</v>
      </c>
      <c r="C6" s="12">
        <f>0.05</f>
        <v>0.05</v>
      </c>
    </row>
    <row r="7">
      <c r="A7" t="inlineStr" s="10">
        <is>
          <t xml:space="preserve">AI model cost per brief</t>
        </is>
      </c>
      <c r="B7" s="15">
        <f>0.35</f>
        <v>0.35</v>
      </c>
      <c r="C7" s="15">
        <f>0.7</f>
        <v>0.7</v>
      </c>
    </row>
    <row r="8">
      <c r="A8" t="inlineStr" s="10">
        <is>
          <t xml:space="preserve">Web search and scraping cost per brief</t>
        </is>
      </c>
      <c r="B8" s="15">
        <f>0.1</f>
        <v>0.1</v>
      </c>
      <c r="C8" s="15">
        <f>0.15</f>
        <v>0.15</v>
      </c>
    </row>
    <row r="9">
      <c r="A9" t="inlineStr" s="10">
        <is>
          <t xml:space="preserve">Price per brief</t>
        </is>
      </c>
      <c r="B9" s="15">
        <f>1.5</f>
        <v>1.5</v>
      </c>
      <c r="C9" s="15">
        <f>'ASSUMPTIONS (hypothetical) grow'!B9</f>
        <v>1.5</v>
      </c>
    </row>
    <row r="10">
      <c r="A10" t="inlineStr" s="10">
        <is>
          <t xml:space="preserve">Card fee rate</t>
        </is>
      </c>
      <c r="B10" s="14">
        <f>0.029</f>
        <v>0.029</v>
      </c>
      <c r="C10" s="14">
        <f>'ASSUMPTIONS (hypothetical) grow'!B10</f>
        <v>0.029</v>
      </c>
    </row>
    <row r="11">
      <c r="A11" t="inlineStr" s="10">
        <is>
          <t xml:space="preserve">Card fee per charge</t>
        </is>
      </c>
      <c r="B11" s="15">
        <f>0.3</f>
        <v>0.3</v>
      </c>
      <c r="C11" s="15">
        <f>'ASSUMPTIONS (hypothetical) grow'!B11</f>
        <v>0.3</v>
      </c>
    </row>
    <row r="12">
      <c r="A12" t="inlineStr" s="10">
        <is>
          <t xml:space="preserve">Hosting per month</t>
        </is>
      </c>
      <c r="B12" s="11">
        <f>40</f>
        <v>40</v>
      </c>
      <c r="C12" s="11">
        <f>'ASSUMPTIONS (hypothetical) grow'!B12</f>
        <v>40</v>
      </c>
    </row>
    <row r="13">
      <c r="A13" t="inlineStr" s="10">
        <is>
          <t xml:space="preserve">Tooling per month</t>
        </is>
      </c>
      <c r="B13" s="11">
        <f>120</f>
        <v>120</v>
      </c>
      <c r="C13" s="11">
        <f>'ASSUMPTIONS (hypothetical) grow'!B13</f>
        <v>120</v>
      </c>
    </row>
    <row r="14">
      <c r="A14" t="inlineStr" s="10">
        <is>
          <t xml:space="preserve">Marketing per month</t>
        </is>
      </c>
      <c r="B14" s="11">
        <f>150</f>
        <v>150</v>
      </c>
      <c r="C14" s="11">
        <f>300</f>
        <v>300</v>
      </c>
    </row>
    <row r="15">
      <c r="A15" t="inlineStr" s="10">
        <is>
          <t xml:space="preserve">Founder pay per month</t>
        </is>
      </c>
      <c r="B15" s="11">
        <f>0</f>
        <v>0</v>
      </c>
      <c r="C15" s="11">
        <f>'ASSUMPTIONS (hypothetical) grow'!B15</f>
        <v>0</v>
      </c>
    </row>
    <row r="16">
      <c r="A16" t="inlineStr" s="5">
        <is>
          <t xml:space="preserve">Starting cash</t>
        </is>
      </c>
      <c r="B16" s="6">
        <f>0</f>
        <v>0</v>
      </c>
      <c r="C16" s="6">
        <f>'ASSUMPTIONS (hypothetical) grow'!B16</f>
        <v>0</v>
      </c>
    </row>
  </sheetData>
  <mergeCells count="1">
    <mergeCell ref="A1:C1"/>
  </mergeCells>
</worksheet>
</file>